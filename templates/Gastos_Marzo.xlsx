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klogic-my.sharepoint.com/personal/halcaniz_acklogic_com/Documents/Documentos/ACK/Gastos/2026/03_Marzo/"/>
    </mc:Choice>
  </mc:AlternateContent>
  <xr:revisionPtr revIDLastSave="27" documentId="8_{0C56B2AB-2B1E-43BC-9486-792784AD4A0B}" xr6:coauthVersionLast="47" xr6:coauthVersionMax="47" xr10:uidLastSave="{04B212A6-6122-4117-BE62-87C780A0B022}"/>
  <bookViews>
    <workbookView xWindow="28680" yWindow="-120" windowWidth="29040" windowHeight="15720" xr2:uid="{00000000-000D-0000-FFFF-FFFF00000000}"/>
  </bookViews>
  <sheets>
    <sheet name="Hoja de Gastos" sheetId="1" r:id="rId1"/>
  </sheets>
  <definedNames>
    <definedName name="_xlnm.Print_Area" localSheetId="0">'Hoja de Gastos'!$A$1:$M$48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8" i="1" l="1"/>
  <c r="I39" i="1"/>
  <c r="I38" i="1"/>
  <c r="I10" i="1"/>
  <c r="P9" i="1" l="1"/>
  <c r="Q9" i="1" s="1"/>
  <c r="P11" i="1" l="1"/>
  <c r="P13" i="1" s="1"/>
  <c r="G9" i="1" l="1"/>
  <c r="M9" i="1" s="1"/>
  <c r="G10" i="1"/>
  <c r="M10" i="1" s="1"/>
  <c r="G11" i="1"/>
  <c r="M11" i="1" s="1"/>
  <c r="G12" i="1"/>
  <c r="M12" i="1" s="1"/>
  <c r="G13" i="1"/>
  <c r="M13" i="1" s="1"/>
  <c r="G14" i="1"/>
  <c r="M14" i="1" s="1"/>
  <c r="G15" i="1"/>
  <c r="M15" i="1" s="1"/>
  <c r="G16" i="1"/>
  <c r="M16" i="1" s="1"/>
  <c r="G17" i="1"/>
  <c r="M17" i="1" s="1"/>
  <c r="G18" i="1"/>
  <c r="M18" i="1" s="1"/>
  <c r="G19" i="1"/>
  <c r="M19" i="1" s="1"/>
  <c r="G20" i="1"/>
  <c r="M20" i="1" s="1"/>
  <c r="G21" i="1"/>
  <c r="M21" i="1" s="1"/>
  <c r="G22" i="1"/>
  <c r="M22" i="1" s="1"/>
  <c r="G23" i="1"/>
  <c r="M23" i="1" s="1"/>
  <c r="G24" i="1"/>
  <c r="M24" i="1" s="1"/>
  <c r="G25" i="1"/>
  <c r="M25" i="1" s="1"/>
  <c r="G26" i="1"/>
  <c r="M26" i="1" s="1"/>
  <c r="G27" i="1"/>
  <c r="M27" i="1" s="1"/>
  <c r="G28" i="1"/>
  <c r="M28" i="1" s="1"/>
  <c r="G29" i="1"/>
  <c r="M29" i="1" s="1"/>
  <c r="G30" i="1"/>
  <c r="M30" i="1" s="1"/>
  <c r="G31" i="1"/>
  <c r="M31" i="1" s="1"/>
  <c r="G32" i="1"/>
  <c r="M32" i="1" s="1"/>
  <c r="G33" i="1"/>
  <c r="M33" i="1" s="1"/>
  <c r="G34" i="1"/>
  <c r="M34" i="1" s="1"/>
  <c r="G35" i="1"/>
  <c r="M35" i="1" s="1"/>
  <c r="G36" i="1"/>
  <c r="M36" i="1" s="1"/>
  <c r="G37" i="1"/>
  <c r="M37" i="1" s="1"/>
  <c r="G38" i="1"/>
  <c r="M38" i="1" s="1"/>
  <c r="G39" i="1"/>
  <c r="M39" i="1" s="1"/>
  <c r="M44" i="1" l="1"/>
  <c r="M45" i="1"/>
  <c r="M46" i="1" l="1"/>
</calcChain>
</file>

<file path=xl/sharedStrings.xml><?xml version="1.0" encoding="utf-8"?>
<sst xmlns="http://schemas.openxmlformats.org/spreadsheetml/2006/main" count="52" uniqueCount="43">
  <si>
    <t>Dia</t>
  </si>
  <si>
    <t>K.M.</t>
  </si>
  <si>
    <t>Total dia</t>
  </si>
  <si>
    <t xml:space="preserve"> Total Mensual ..................................</t>
  </si>
  <si>
    <t xml:space="preserve"> Total a Pagar ....................................</t>
  </si>
  <si>
    <t xml:space="preserve">Mes:  </t>
  </si>
  <si>
    <t xml:space="preserve">Empresa:   </t>
  </si>
  <si>
    <t>LIQUIDACIÓ DESPESES</t>
  </si>
  <si>
    <t>Nom:</t>
  </si>
  <si>
    <t>Client</t>
  </si>
  <si>
    <t>Lloc</t>
  </si>
  <si>
    <t xml:space="preserve">            Locomoció</t>
  </si>
  <si>
    <t>Import</t>
  </si>
  <si>
    <t>Peatge</t>
  </si>
  <si>
    <t>Autopistes</t>
  </si>
  <si>
    <t>Dietes</t>
  </si>
  <si>
    <t>Allotjaments</t>
  </si>
  <si>
    <t>Bitllets de..</t>
  </si>
  <si>
    <t>Altres</t>
  </si>
  <si>
    <t>Bestreta a compte</t>
  </si>
  <si>
    <t>He rebut:</t>
  </si>
  <si>
    <t xml:space="preserve"> Bestretes a Compte .......................</t>
  </si>
  <si>
    <t>Any:</t>
  </si>
  <si>
    <t>Quilometros calculados</t>
  </si>
  <si>
    <t>Importe</t>
  </si>
  <si>
    <t>€</t>
  </si>
  <si>
    <t>Quilometros Reales ( Ida y Vuelta )</t>
  </si>
  <si>
    <t>Control horari</t>
  </si>
  <si>
    <t>HORES IMPUTADES ITM</t>
  </si>
  <si>
    <t>CONTROL HORARI</t>
  </si>
  <si>
    <t>ACK Logic</t>
  </si>
  <si>
    <t>Héctor Alcañiz</t>
  </si>
  <si>
    <t>si</t>
  </si>
  <si>
    <t>Reig Jofre</t>
  </si>
  <si>
    <t>N de projecte</t>
  </si>
  <si>
    <t>Comercial</t>
  </si>
  <si>
    <t>Sant Joan d'espi</t>
  </si>
  <si>
    <t>Març</t>
  </si>
  <si>
    <t>Revision Medica</t>
  </si>
  <si>
    <t>Revision Medica 2</t>
  </si>
  <si>
    <t>125.9.720</t>
  </si>
  <si>
    <t>NA</t>
  </si>
  <si>
    <t>Rubi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</si>
</sst>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Arial"/>
    </font>
    <font>
      <b/>
      <sz val="12"/>
      <color indexed="8"/>
      <name val="Arial"/>
      <family val="2"/>
    </font>
    <font>
      <b/>
      <u/>
      <sz val="14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8"/>
      </left>
      <right/>
      <top style="double">
        <color indexed="8"/>
      </top>
      <bottom style="thin">
        <color indexed="64"/>
      </bottom>
      <diagonal/>
    </border>
    <border>
      <left/>
      <right/>
      <top style="double">
        <color indexed="8"/>
      </top>
      <bottom style="thin">
        <color indexed="64"/>
      </bottom>
      <diagonal/>
    </border>
    <border>
      <left/>
      <right style="medium">
        <color indexed="64"/>
      </right>
      <top style="double">
        <color indexed="8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2" borderId="0"/>
    <xf numFmtId="0" fontId="4" fillId="2" borderId="0"/>
  </cellStyleXfs>
  <cellXfs count="60">
    <xf numFmtId="0" fontId="0" fillId="2" borderId="0" xfId="0"/>
    <xf numFmtId="0" fontId="0" fillId="0" borderId="0" xfId="0" applyFill="1"/>
    <xf numFmtId="0" fontId="2" fillId="0" borderId="0" xfId="0" applyFont="1" applyFill="1"/>
    <xf numFmtId="0" fontId="1" fillId="0" borderId="0" xfId="0" applyFont="1" applyFill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/>
    <xf numFmtId="0" fontId="0" fillId="0" borderId="10" xfId="0" applyFill="1" applyBorder="1"/>
    <xf numFmtId="4" fontId="0" fillId="0" borderId="1" xfId="0" applyNumberFormat="1" applyFill="1" applyBorder="1" applyAlignment="1">
      <alignment horizontal="center"/>
    </xf>
    <xf numFmtId="0" fontId="0" fillId="0" borderId="11" xfId="0" applyFill="1" applyBorder="1"/>
    <xf numFmtId="0" fontId="3" fillId="0" borderId="11" xfId="0" applyFont="1" applyFill="1" applyBorder="1"/>
    <xf numFmtId="4" fontId="0" fillId="0" borderId="12" xfId="0" applyNumberFormat="1" applyFill="1" applyBorder="1"/>
    <xf numFmtId="0" fontId="0" fillId="0" borderId="11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4" fontId="0" fillId="0" borderId="14" xfId="0" applyNumberFormat="1" applyFill="1" applyBorder="1" applyAlignment="1">
      <alignment horizontal="center"/>
    </xf>
    <xf numFmtId="0" fontId="0" fillId="0" borderId="15" xfId="0" applyFill="1" applyBorder="1"/>
    <xf numFmtId="0" fontId="0" fillId="0" borderId="16" xfId="0" applyFill="1" applyBorder="1"/>
    <xf numFmtId="0" fontId="0" fillId="0" borderId="17" xfId="0" applyFill="1" applyBorder="1"/>
    <xf numFmtId="0" fontId="1" fillId="0" borderId="11" xfId="0" applyFont="1" applyFill="1" applyBorder="1"/>
    <xf numFmtId="0" fontId="0" fillId="0" borderId="18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4" fillId="0" borderId="0" xfId="0" applyFont="1" applyFill="1"/>
    <xf numFmtId="0" fontId="5" fillId="0" borderId="0" xfId="0" applyFont="1" applyFill="1"/>
    <xf numFmtId="0" fontId="4" fillId="0" borderId="2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0" xfId="0" applyFill="1" applyAlignment="1">
      <alignment horizontal="left"/>
    </xf>
    <xf numFmtId="4" fontId="0" fillId="0" borderId="0" xfId="0" applyNumberFormat="1" applyFill="1"/>
    <xf numFmtId="0" fontId="4" fillId="0" borderId="1" xfId="1" applyFill="1" applyBorder="1"/>
    <xf numFmtId="0" fontId="4" fillId="0" borderId="3" xfId="1" applyFill="1" applyBorder="1" applyAlignment="1">
      <alignment horizontal="left"/>
    </xf>
    <xf numFmtId="0" fontId="4" fillId="0" borderId="21" xfId="1" applyFill="1" applyBorder="1" applyAlignment="1">
      <alignment horizontal="left"/>
    </xf>
    <xf numFmtId="2" fontId="4" fillId="0" borderId="21" xfId="1" applyNumberFormat="1" applyFill="1" applyBorder="1" applyAlignment="1">
      <alignment horizontal="center"/>
    </xf>
    <xf numFmtId="4" fontId="4" fillId="0" borderId="4" xfId="1" applyNumberFormat="1" applyFill="1" applyBorder="1" applyAlignment="1">
      <alignment horizontal="center"/>
    </xf>
    <xf numFmtId="4" fontId="4" fillId="0" borderId="19" xfId="1" applyNumberFormat="1" applyFill="1" applyBorder="1"/>
    <xf numFmtId="4" fontId="4" fillId="0" borderId="1" xfId="1" applyNumberFormat="1" applyFill="1" applyBorder="1"/>
    <xf numFmtId="4" fontId="4" fillId="0" borderId="22" xfId="1" applyNumberFormat="1" applyFill="1" applyBorder="1"/>
    <xf numFmtId="4" fontId="4" fillId="0" borderId="21" xfId="1" applyNumberFormat="1" applyFill="1" applyBorder="1"/>
    <xf numFmtId="0" fontId="0" fillId="0" borderId="23" xfId="0" applyFill="1" applyBorder="1" applyAlignment="1">
      <alignment horizontal="center"/>
    </xf>
    <xf numFmtId="0" fontId="4" fillId="0" borderId="24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4" fillId="0" borderId="0" xfId="1" applyFill="1" applyAlignment="1">
      <alignment horizontal="left"/>
    </xf>
    <xf numFmtId="0" fontId="4" fillId="0" borderId="3" xfId="1" applyFill="1" applyBorder="1"/>
    <xf numFmtId="0" fontId="0" fillId="0" borderId="10" xfId="0" applyFill="1" applyBorder="1" applyAlignment="1">
      <alignment horizontal="center"/>
    </xf>
    <xf numFmtId="4" fontId="0" fillId="0" borderId="0" xfId="0" applyNumberFormat="1" applyFill="1" applyAlignment="1">
      <alignment horizontal="center"/>
    </xf>
    <xf numFmtId="4" fontId="0" fillId="0" borderId="16" xfId="0" applyNumberFormat="1" applyFill="1" applyBorder="1" applyAlignment="1">
      <alignment horizontal="center"/>
    </xf>
    <xf numFmtId="0" fontId="4" fillId="0" borderId="4" xfId="1" applyFill="1" applyBorder="1" applyAlignment="1">
      <alignment horizontal="left"/>
    </xf>
    <xf numFmtId="0" fontId="4" fillId="0" borderId="28" xfId="1" applyFill="1" applyBorder="1"/>
    <xf numFmtId="0" fontId="4" fillId="0" borderId="29" xfId="1" applyFill="1" applyBorder="1" applyAlignment="1">
      <alignment horizontal="left"/>
    </xf>
    <xf numFmtId="0" fontId="4" fillId="0" borderId="21" xfId="1" applyFill="1" applyBorder="1"/>
    <xf numFmtId="0" fontId="6" fillId="4" borderId="25" xfId="0" applyFont="1" applyFill="1" applyBorder="1" applyAlignment="1">
      <alignment horizontal="center"/>
    </xf>
    <xf numFmtId="0" fontId="6" fillId="4" borderId="26" xfId="0" applyFont="1" applyFill="1" applyBorder="1" applyAlignment="1">
      <alignment horizontal="center"/>
    </xf>
    <xf numFmtId="0" fontId="6" fillId="4" borderId="27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abSelected="1" showOutlineSymbols="0" zoomScale="85" zoomScaleNormal="85" workbookViewId="0">
      <selection activeCell="E33" sqref="E33"/>
    </sheetView>
  </sheetViews>
  <sheetFormatPr baseColWidth="10" defaultColWidth="14.90625" defaultRowHeight="15" x14ac:dyDescent="0.25"/>
  <cols>
    <col min="1" max="1" width="9.08984375" style="31" customWidth="1"/>
    <col min="2" max="2" width="29.36328125" style="1" bestFit="1" customWidth="1"/>
    <col min="3" max="3" width="29.36328125" style="1" customWidth="1"/>
    <col min="4" max="4" width="30.81640625" style="1" bestFit="1" customWidth="1"/>
    <col min="5" max="5" width="6.6328125" style="1" customWidth="1"/>
    <col min="6" max="6" width="6.90625" style="1" bestFit="1" customWidth="1"/>
    <col min="7" max="7" width="14.90625" style="1" customWidth="1"/>
    <col min="8" max="8" width="11.6328125" style="1" customWidth="1"/>
    <col min="9" max="9" width="8.90625" style="1" customWidth="1"/>
    <col min="10" max="10" width="12.6328125" style="1" customWidth="1"/>
    <col min="11" max="11" width="12.81640625" style="1" bestFit="1" customWidth="1"/>
    <col min="12" max="13" width="14.90625" style="1" customWidth="1"/>
    <col min="14" max="15" width="14.90625" style="1"/>
    <col min="16" max="16" width="30.81640625" style="1" bestFit="1" customWidth="1"/>
    <col min="17" max="16384" width="14.90625" style="1"/>
  </cols>
  <sheetData>
    <row r="1" spans="1:17" ht="17.399999999999999" x14ac:dyDescent="0.3">
      <c r="E1" s="2" t="s">
        <v>7</v>
      </c>
    </row>
    <row r="2" spans="1:17" x14ac:dyDescent="0.25">
      <c r="B2" s="28"/>
      <c r="C2" s="28"/>
    </row>
    <row r="3" spans="1:17" ht="15.6" x14ac:dyDescent="0.3">
      <c r="A3" s="46" t="s">
        <v>6</v>
      </c>
      <c r="B3" s="28" t="s">
        <v>30</v>
      </c>
      <c r="C3" s="28"/>
    </row>
    <row r="4" spans="1:17" ht="15.6" x14ac:dyDescent="0.3">
      <c r="A4" s="46" t="s">
        <v>8</v>
      </c>
      <c r="B4" s="1" t="s">
        <v>31</v>
      </c>
      <c r="D4" s="28"/>
      <c r="J4" s="3" t="s">
        <v>5</v>
      </c>
      <c r="K4" s="28" t="s">
        <v>37</v>
      </c>
      <c r="L4" s="3" t="s">
        <v>22</v>
      </c>
      <c r="M4" s="1">
        <v>2026</v>
      </c>
    </row>
    <row r="5" spans="1:17" ht="15.6" x14ac:dyDescent="0.3">
      <c r="A5" s="46"/>
      <c r="K5" s="3"/>
      <c r="M5" s="3"/>
    </row>
    <row r="6" spans="1:17" x14ac:dyDescent="0.25">
      <c r="E6" s="4" t="s">
        <v>11</v>
      </c>
      <c r="F6" s="5"/>
      <c r="G6" s="6"/>
      <c r="H6" s="25" t="s">
        <v>13</v>
      </c>
    </row>
    <row r="7" spans="1:17" x14ac:dyDescent="0.25">
      <c r="A7" s="7" t="s">
        <v>0</v>
      </c>
      <c r="B7" s="7" t="s">
        <v>9</v>
      </c>
      <c r="C7" s="7" t="s">
        <v>34</v>
      </c>
      <c r="D7" s="7" t="s">
        <v>10</v>
      </c>
      <c r="E7" s="7" t="s">
        <v>1</v>
      </c>
      <c r="F7" s="30" t="s">
        <v>25</v>
      </c>
      <c r="G7" s="26" t="s">
        <v>12</v>
      </c>
      <c r="H7" s="9" t="s">
        <v>14</v>
      </c>
      <c r="I7" s="7" t="s">
        <v>15</v>
      </c>
      <c r="J7" s="7" t="s">
        <v>16</v>
      </c>
      <c r="K7" s="7" t="s">
        <v>17</v>
      </c>
      <c r="L7" s="27" t="s">
        <v>18</v>
      </c>
      <c r="M7" s="26" t="s">
        <v>2</v>
      </c>
    </row>
    <row r="8" spans="1:17" ht="15.6" x14ac:dyDescent="0.3">
      <c r="B8" s="33"/>
      <c r="C8" s="33"/>
      <c r="P8" s="32" t="s">
        <v>26</v>
      </c>
    </row>
    <row r="9" spans="1:17" x14ac:dyDescent="0.25">
      <c r="A9" s="7">
        <v>1</v>
      </c>
      <c r="B9" s="37"/>
      <c r="C9" s="37"/>
      <c r="D9" s="53"/>
      <c r="E9" s="37"/>
      <c r="F9" s="38">
        <v>0.11</v>
      </c>
      <c r="G9" s="39">
        <f>F9*E9</f>
        <v>0</v>
      </c>
      <c r="H9" s="40">
        <v>0</v>
      </c>
      <c r="I9" s="41"/>
      <c r="J9" s="41"/>
      <c r="K9" s="41"/>
      <c r="L9" s="41"/>
      <c r="M9" s="41">
        <f t="shared" ref="M9:M39" si="0">G9+H9+I9+J9+K9+L9</f>
        <v>0</v>
      </c>
      <c r="P9" s="31">
        <f>28.9*2</f>
        <v>57.8</v>
      </c>
      <c r="Q9" s="31">
        <f>P9*0.11</f>
        <v>6.3579999999999997</v>
      </c>
    </row>
    <row r="10" spans="1:17" ht="14.25" customHeight="1" x14ac:dyDescent="0.3">
      <c r="A10" s="7">
        <v>2</v>
      </c>
      <c r="B10" s="37" t="s">
        <v>33</v>
      </c>
      <c r="C10" s="37" t="s">
        <v>35</v>
      </c>
      <c r="D10" s="53" t="s">
        <v>36</v>
      </c>
      <c r="E10" s="37">
        <v>57.8</v>
      </c>
      <c r="F10" s="38">
        <v>0.11</v>
      </c>
      <c r="G10" s="39">
        <f>F10*E10</f>
        <v>6.3579999999999997</v>
      </c>
      <c r="H10" s="40">
        <v>0</v>
      </c>
      <c r="I10" s="41">
        <f>12.82+2+6.5</f>
        <v>21.32</v>
      </c>
      <c r="J10" s="41"/>
      <c r="K10" s="41"/>
      <c r="L10" s="41"/>
      <c r="M10" s="41">
        <f t="shared" si="0"/>
        <v>27.678000000000001</v>
      </c>
      <c r="P10" s="32" t="s">
        <v>23</v>
      </c>
      <c r="Q10" s="31"/>
    </row>
    <row r="11" spans="1:17" x14ac:dyDescent="0.25">
      <c r="A11" s="7">
        <v>3</v>
      </c>
      <c r="B11" s="35"/>
      <c r="C11" s="54"/>
      <c r="D11" s="36"/>
      <c r="E11" s="37"/>
      <c r="F11" s="38">
        <v>0.11</v>
      </c>
      <c r="G11" s="39">
        <f t="shared" ref="G11:G39" si="1">F11*E11</f>
        <v>0</v>
      </c>
      <c r="H11" s="40">
        <v>0</v>
      </c>
      <c r="I11" s="41"/>
      <c r="J11" s="41"/>
      <c r="K11" s="41"/>
      <c r="L11" s="41"/>
      <c r="M11" s="41">
        <f t="shared" si="0"/>
        <v>0</v>
      </c>
      <c r="P11" s="47">
        <f>(P9*0.47)/0.26</f>
        <v>104.48461538461537</v>
      </c>
      <c r="Q11" s="47"/>
    </row>
    <row r="12" spans="1:17" ht="15.6" x14ac:dyDescent="0.3">
      <c r="A12" s="7">
        <v>4</v>
      </c>
      <c r="B12" s="37"/>
      <c r="C12" s="48"/>
      <c r="D12" s="36"/>
      <c r="E12" s="37"/>
      <c r="F12" s="38">
        <v>0.11</v>
      </c>
      <c r="G12" s="39">
        <f t="shared" si="1"/>
        <v>0</v>
      </c>
      <c r="H12" s="40">
        <v>0</v>
      </c>
      <c r="I12" s="41"/>
      <c r="J12" s="41"/>
      <c r="K12" s="41"/>
      <c r="L12" s="41"/>
      <c r="M12" s="41">
        <f t="shared" si="0"/>
        <v>0</v>
      </c>
      <c r="P12" s="32" t="s">
        <v>24</v>
      </c>
      <c r="Q12" s="31"/>
    </row>
    <row r="13" spans="1:17" x14ac:dyDescent="0.25">
      <c r="A13" s="7">
        <v>5</v>
      </c>
      <c r="B13" s="35"/>
      <c r="C13" s="49"/>
      <c r="D13" s="36"/>
      <c r="E13" s="37"/>
      <c r="F13" s="38">
        <v>0.11</v>
      </c>
      <c r="G13" s="39">
        <f t="shared" si="1"/>
        <v>0</v>
      </c>
      <c r="H13" s="40">
        <v>0</v>
      </c>
      <c r="I13" s="41"/>
      <c r="J13" s="41"/>
      <c r="K13" s="41"/>
      <c r="L13" s="41"/>
      <c r="M13" s="41">
        <f t="shared" si="0"/>
        <v>0</v>
      </c>
      <c r="P13" s="31">
        <f>P11*0.26</f>
        <v>27.165999999999997</v>
      </c>
      <c r="Q13" s="47"/>
    </row>
    <row r="14" spans="1:17" x14ac:dyDescent="0.25">
      <c r="A14" s="7">
        <v>6</v>
      </c>
      <c r="B14" s="35"/>
      <c r="C14" s="49"/>
      <c r="D14" s="36"/>
      <c r="E14" s="37"/>
      <c r="F14" s="38">
        <v>0.11</v>
      </c>
      <c r="G14" s="39">
        <f>F14*E14</f>
        <v>0</v>
      </c>
      <c r="H14" s="40">
        <v>0</v>
      </c>
      <c r="I14" s="41"/>
      <c r="J14" s="41"/>
      <c r="K14" s="41"/>
      <c r="L14" s="41"/>
      <c r="M14" s="41">
        <f t="shared" si="0"/>
        <v>0</v>
      </c>
    </row>
    <row r="15" spans="1:17" x14ac:dyDescent="0.25">
      <c r="A15" s="7">
        <v>7</v>
      </c>
      <c r="B15" s="35"/>
      <c r="C15" s="49"/>
      <c r="D15" s="36"/>
      <c r="E15" s="37"/>
      <c r="F15" s="38">
        <v>0.11</v>
      </c>
      <c r="G15" s="39">
        <f t="shared" si="1"/>
        <v>0</v>
      </c>
      <c r="H15" s="40">
        <v>0</v>
      </c>
      <c r="I15" s="41"/>
      <c r="J15" s="41"/>
      <c r="K15" s="41"/>
      <c r="L15" s="41"/>
      <c r="M15" s="41">
        <f t="shared" si="0"/>
        <v>0</v>
      </c>
    </row>
    <row r="16" spans="1:17" x14ac:dyDescent="0.25">
      <c r="A16" s="7">
        <v>8</v>
      </c>
      <c r="B16" s="35"/>
      <c r="C16" s="49"/>
      <c r="D16" s="36"/>
      <c r="E16" s="37"/>
      <c r="F16" s="38">
        <v>0.11</v>
      </c>
      <c r="G16" s="39">
        <f t="shared" si="1"/>
        <v>0</v>
      </c>
      <c r="H16" s="40">
        <v>0</v>
      </c>
      <c r="I16" s="41"/>
      <c r="J16" s="41"/>
      <c r="K16" s="41"/>
      <c r="L16" s="41"/>
      <c r="M16" s="41">
        <f t="shared" si="0"/>
        <v>0</v>
      </c>
    </row>
    <row r="17" spans="1:17" x14ac:dyDescent="0.25">
      <c r="A17" s="7">
        <v>9</v>
      </c>
      <c r="B17" s="35"/>
      <c r="C17" s="49"/>
      <c r="D17" s="36"/>
      <c r="E17" s="37"/>
      <c r="F17" s="38">
        <v>0.11</v>
      </c>
      <c r="G17" s="39">
        <f t="shared" si="1"/>
        <v>0</v>
      </c>
      <c r="H17" s="40">
        <v>0</v>
      </c>
      <c r="I17" s="41"/>
      <c r="J17" s="41"/>
      <c r="K17" s="41"/>
      <c r="L17" s="41"/>
      <c r="M17" s="41">
        <f t="shared" si="0"/>
        <v>0</v>
      </c>
    </row>
    <row r="18" spans="1:17" x14ac:dyDescent="0.25">
      <c r="A18" s="7">
        <v>10</v>
      </c>
      <c r="B18" s="35"/>
      <c r="C18" s="49"/>
      <c r="D18" s="36"/>
      <c r="E18" s="37"/>
      <c r="F18" s="38">
        <v>0.11</v>
      </c>
      <c r="G18" s="39">
        <f>F18*E18</f>
        <v>0</v>
      </c>
      <c r="H18" s="40">
        <v>0</v>
      </c>
      <c r="I18" s="41"/>
      <c r="J18" s="41"/>
      <c r="K18" s="41"/>
      <c r="L18" s="41"/>
      <c r="M18" s="41">
        <f t="shared" si="0"/>
        <v>0</v>
      </c>
    </row>
    <row r="19" spans="1:17" x14ac:dyDescent="0.25">
      <c r="A19" s="7">
        <v>11</v>
      </c>
      <c r="B19" s="35"/>
      <c r="C19" s="49"/>
      <c r="D19" s="36"/>
      <c r="E19" s="37"/>
      <c r="F19" s="38">
        <v>0.11</v>
      </c>
      <c r="G19" s="39">
        <f t="shared" si="1"/>
        <v>0</v>
      </c>
      <c r="H19" s="40">
        <v>0</v>
      </c>
      <c r="I19" s="41"/>
      <c r="J19" s="41"/>
      <c r="K19" s="41"/>
      <c r="L19" s="41"/>
      <c r="M19" s="41">
        <f t="shared" si="0"/>
        <v>0</v>
      </c>
    </row>
    <row r="20" spans="1:17" x14ac:dyDescent="0.25">
      <c r="A20" s="7">
        <v>12</v>
      </c>
      <c r="B20" s="35"/>
      <c r="C20" s="49"/>
      <c r="D20" s="36"/>
      <c r="E20" s="37"/>
      <c r="F20" s="38">
        <v>0.11</v>
      </c>
      <c r="G20" s="39">
        <f t="shared" si="1"/>
        <v>0</v>
      </c>
      <c r="H20" s="40">
        <v>0</v>
      </c>
      <c r="I20" s="41"/>
      <c r="J20" s="41"/>
      <c r="K20" s="41"/>
      <c r="L20" s="41"/>
      <c r="M20" s="41">
        <f t="shared" si="0"/>
        <v>0</v>
      </c>
    </row>
    <row r="21" spans="1:17" x14ac:dyDescent="0.25">
      <c r="A21" s="7">
        <v>13</v>
      </c>
      <c r="B21" s="35"/>
      <c r="C21" s="49"/>
      <c r="D21" s="36"/>
      <c r="E21" s="37"/>
      <c r="F21" s="38">
        <v>0.11</v>
      </c>
      <c r="G21" s="39">
        <f t="shared" si="1"/>
        <v>0</v>
      </c>
      <c r="H21" s="40">
        <v>0</v>
      </c>
      <c r="I21" s="41"/>
      <c r="J21" s="41"/>
      <c r="K21" s="41"/>
      <c r="L21" s="41"/>
      <c r="M21" s="41">
        <f t="shared" si="0"/>
        <v>0</v>
      </c>
      <c r="Q21" s="31"/>
    </row>
    <row r="22" spans="1:17" x14ac:dyDescent="0.25">
      <c r="A22" s="7">
        <v>14</v>
      </c>
      <c r="B22" s="37"/>
      <c r="C22" s="37"/>
      <c r="D22" s="37"/>
      <c r="E22" s="37"/>
      <c r="F22" s="38">
        <v>0.11</v>
      </c>
      <c r="G22" s="39">
        <f t="shared" si="1"/>
        <v>0</v>
      </c>
      <c r="H22" s="40">
        <v>0</v>
      </c>
      <c r="I22" s="41"/>
      <c r="J22" s="41"/>
      <c r="K22" s="41"/>
      <c r="L22" s="41"/>
      <c r="M22" s="41">
        <f t="shared" si="0"/>
        <v>0</v>
      </c>
    </row>
    <row r="23" spans="1:17" x14ac:dyDescent="0.25">
      <c r="A23" s="7">
        <v>15</v>
      </c>
      <c r="B23" s="37"/>
      <c r="C23" s="37"/>
      <c r="D23" s="37"/>
      <c r="E23" s="37"/>
      <c r="F23" s="38">
        <v>0.11</v>
      </c>
      <c r="G23" s="39">
        <f t="shared" si="1"/>
        <v>0</v>
      </c>
      <c r="H23" s="40">
        <v>0</v>
      </c>
      <c r="I23" s="41"/>
      <c r="J23" s="41"/>
      <c r="K23" s="41"/>
      <c r="L23" s="41"/>
      <c r="M23" s="41">
        <f t="shared" si="0"/>
        <v>0</v>
      </c>
    </row>
    <row r="24" spans="1:17" x14ac:dyDescent="0.25">
      <c r="A24" s="7">
        <v>16</v>
      </c>
      <c r="B24" s="35"/>
      <c r="C24" s="49"/>
      <c r="D24" s="36"/>
      <c r="E24" s="37"/>
      <c r="F24" s="38">
        <v>0.11</v>
      </c>
      <c r="G24" s="39">
        <f t="shared" si="1"/>
        <v>0</v>
      </c>
      <c r="H24" s="40">
        <v>0</v>
      </c>
      <c r="I24" s="41"/>
      <c r="J24" s="41"/>
      <c r="K24" s="41"/>
      <c r="L24" s="41"/>
      <c r="M24" s="41">
        <f t="shared" si="0"/>
        <v>0</v>
      </c>
    </row>
    <row r="25" spans="1:17" x14ac:dyDescent="0.25">
      <c r="A25" s="7">
        <v>17</v>
      </c>
      <c r="B25" s="37"/>
      <c r="C25" s="37"/>
      <c r="D25" s="37"/>
      <c r="E25" s="37"/>
      <c r="F25" s="38">
        <v>0.11</v>
      </c>
      <c r="G25" s="39">
        <f t="shared" si="1"/>
        <v>0</v>
      </c>
      <c r="H25" s="40">
        <v>0</v>
      </c>
      <c r="I25" s="41"/>
      <c r="J25" s="41"/>
      <c r="K25" s="41"/>
      <c r="L25" s="41"/>
      <c r="M25" s="41">
        <f t="shared" si="0"/>
        <v>0</v>
      </c>
    </row>
    <row r="26" spans="1:17" x14ac:dyDescent="0.25">
      <c r="A26" s="7">
        <v>18</v>
      </c>
      <c r="B26" s="35"/>
      <c r="C26" s="49"/>
      <c r="D26" s="36"/>
      <c r="E26" s="37"/>
      <c r="F26" s="38">
        <v>0.11</v>
      </c>
      <c r="G26" s="39">
        <f t="shared" si="1"/>
        <v>0</v>
      </c>
      <c r="H26" s="40">
        <v>0</v>
      </c>
      <c r="I26" s="41"/>
      <c r="J26" s="41"/>
      <c r="K26" s="41"/>
      <c r="L26" s="41"/>
      <c r="M26" s="41">
        <f t="shared" si="0"/>
        <v>0</v>
      </c>
    </row>
    <row r="27" spans="1:17" x14ac:dyDescent="0.25">
      <c r="A27" s="7">
        <v>19</v>
      </c>
      <c r="B27" s="35"/>
      <c r="C27" s="54"/>
      <c r="D27" s="36"/>
      <c r="E27" s="37"/>
      <c r="F27" s="38">
        <v>0.11</v>
      </c>
      <c r="G27" s="39">
        <f>F27*E27</f>
        <v>0</v>
      </c>
      <c r="H27" s="40">
        <v>0</v>
      </c>
      <c r="I27" s="41"/>
      <c r="J27" s="41"/>
      <c r="K27" s="41"/>
      <c r="L27" s="41"/>
      <c r="M27" s="41">
        <f t="shared" si="0"/>
        <v>0</v>
      </c>
    </row>
    <row r="28" spans="1:17" x14ac:dyDescent="0.25">
      <c r="A28" s="7">
        <v>20</v>
      </c>
      <c r="B28" s="37" t="s">
        <v>38</v>
      </c>
      <c r="C28" s="37" t="s">
        <v>41</v>
      </c>
      <c r="D28" s="37" t="s">
        <v>42</v>
      </c>
      <c r="E28" s="37">
        <f>10.6*2</f>
        <v>21.2</v>
      </c>
      <c r="F28" s="38">
        <v>0.11</v>
      </c>
      <c r="G28" s="39">
        <f>F28*E28</f>
        <v>2.3319999999999999</v>
      </c>
      <c r="H28" s="40">
        <v>0</v>
      </c>
      <c r="I28" s="41">
        <v>6.7</v>
      </c>
      <c r="J28" s="41"/>
      <c r="K28" s="41"/>
      <c r="L28" s="41"/>
      <c r="M28" s="41">
        <f t="shared" si="0"/>
        <v>9.032</v>
      </c>
    </row>
    <row r="29" spans="1:17" x14ac:dyDescent="0.25">
      <c r="A29" s="7">
        <v>21</v>
      </c>
      <c r="B29" s="55"/>
      <c r="C29" s="37"/>
      <c r="D29" s="53"/>
      <c r="E29" s="37"/>
      <c r="F29" s="38">
        <v>0.11</v>
      </c>
      <c r="G29" s="39">
        <f t="shared" si="1"/>
        <v>0</v>
      </c>
      <c r="H29" s="40">
        <v>0</v>
      </c>
      <c r="I29" s="41"/>
      <c r="J29" s="41"/>
      <c r="K29" s="41"/>
      <c r="L29" s="41"/>
      <c r="M29" s="41">
        <f t="shared" si="0"/>
        <v>0</v>
      </c>
    </row>
    <row r="30" spans="1:17" x14ac:dyDescent="0.25">
      <c r="A30" s="7">
        <v>22</v>
      </c>
      <c r="B30" s="49"/>
      <c r="C30" s="56"/>
      <c r="D30" s="53"/>
      <c r="E30" s="37"/>
      <c r="F30" s="38">
        <v>0.11</v>
      </c>
      <c r="G30" s="39">
        <f t="shared" si="1"/>
        <v>0</v>
      </c>
      <c r="H30" s="40">
        <v>0</v>
      </c>
      <c r="I30" s="41"/>
      <c r="J30" s="41"/>
      <c r="K30" s="41"/>
      <c r="L30" s="41"/>
      <c r="M30" s="41">
        <f t="shared" si="0"/>
        <v>0</v>
      </c>
    </row>
    <row r="31" spans="1:17" x14ac:dyDescent="0.25">
      <c r="A31" s="7">
        <v>23</v>
      </c>
      <c r="B31" s="37"/>
      <c r="C31" s="37"/>
      <c r="D31" s="37"/>
      <c r="E31" s="37"/>
      <c r="F31" s="38">
        <v>0.11</v>
      </c>
      <c r="G31" s="39">
        <f>F31*E31</f>
        <v>0</v>
      </c>
      <c r="H31" s="40">
        <v>0</v>
      </c>
      <c r="I31" s="41"/>
      <c r="J31" s="41"/>
      <c r="K31" s="41"/>
      <c r="L31" s="41"/>
      <c r="M31" s="41">
        <f t="shared" si="0"/>
        <v>0</v>
      </c>
    </row>
    <row r="32" spans="1:17" x14ac:dyDescent="0.25">
      <c r="A32" s="7">
        <v>24</v>
      </c>
      <c r="B32" s="49" t="s">
        <v>39</v>
      </c>
      <c r="C32" s="56" t="s">
        <v>41</v>
      </c>
      <c r="D32" s="53" t="s">
        <v>42</v>
      </c>
      <c r="E32" s="37">
        <v>21.2</v>
      </c>
      <c r="F32" s="38">
        <v>0.11</v>
      </c>
      <c r="G32" s="39">
        <f t="shared" si="1"/>
        <v>2.3319999999999999</v>
      </c>
      <c r="H32" s="40">
        <v>0</v>
      </c>
      <c r="I32" s="41"/>
      <c r="J32" s="41"/>
      <c r="K32" s="41"/>
      <c r="L32" s="41"/>
      <c r="M32" s="41">
        <f t="shared" si="0"/>
        <v>2.3319999999999999</v>
      </c>
    </row>
    <row r="33" spans="1:16" x14ac:dyDescent="0.25">
      <c r="A33" s="7">
        <v>25</v>
      </c>
      <c r="B33" s="49"/>
      <c r="C33" s="56"/>
      <c r="D33" s="53"/>
      <c r="E33" s="37"/>
      <c r="F33" s="38">
        <v>0.11</v>
      </c>
      <c r="G33" s="39">
        <f t="shared" si="1"/>
        <v>0</v>
      </c>
      <c r="H33" s="40">
        <v>0</v>
      </c>
      <c r="I33" s="41"/>
      <c r="J33" s="41"/>
      <c r="K33" s="41"/>
      <c r="L33" s="41"/>
      <c r="M33" s="41">
        <f t="shared" si="0"/>
        <v>0</v>
      </c>
    </row>
    <row r="34" spans="1:16" x14ac:dyDescent="0.25">
      <c r="A34" s="7">
        <v>26</v>
      </c>
      <c r="B34" s="49"/>
      <c r="C34" s="56"/>
      <c r="D34" s="53"/>
      <c r="E34" s="37"/>
      <c r="F34" s="38">
        <v>0.11</v>
      </c>
      <c r="G34" s="39">
        <f t="shared" si="1"/>
        <v>0</v>
      </c>
      <c r="H34" s="40">
        <v>0</v>
      </c>
      <c r="I34" s="41"/>
      <c r="J34" s="41"/>
      <c r="K34" s="41"/>
      <c r="L34" s="41"/>
      <c r="M34" s="41">
        <f t="shared" si="0"/>
        <v>0</v>
      </c>
    </row>
    <row r="35" spans="1:16" x14ac:dyDescent="0.25">
      <c r="A35" s="7">
        <v>27</v>
      </c>
      <c r="B35" s="55"/>
      <c r="C35" s="37"/>
      <c r="D35" s="53"/>
      <c r="E35" s="37"/>
      <c r="F35" s="38">
        <v>0.11</v>
      </c>
      <c r="G35" s="39">
        <f t="shared" si="1"/>
        <v>0</v>
      </c>
      <c r="H35" s="40">
        <v>0</v>
      </c>
      <c r="I35" s="41"/>
      <c r="J35" s="41"/>
      <c r="K35" s="41"/>
      <c r="L35" s="41"/>
      <c r="M35" s="41">
        <f t="shared" si="0"/>
        <v>0</v>
      </c>
    </row>
    <row r="36" spans="1:16" x14ac:dyDescent="0.25">
      <c r="A36" s="7">
        <v>28</v>
      </c>
      <c r="B36" s="55"/>
      <c r="C36" s="37"/>
      <c r="D36" s="53"/>
      <c r="E36" s="37"/>
      <c r="F36" s="38">
        <v>0.11</v>
      </c>
      <c r="G36" s="39">
        <f t="shared" si="1"/>
        <v>0</v>
      </c>
      <c r="H36" s="40">
        <v>0</v>
      </c>
      <c r="I36" s="41"/>
      <c r="J36" s="41"/>
      <c r="K36" s="41"/>
      <c r="L36" s="41"/>
      <c r="M36" s="41">
        <f t="shared" si="0"/>
        <v>0</v>
      </c>
    </row>
    <row r="37" spans="1:16" x14ac:dyDescent="0.25">
      <c r="A37" s="7">
        <v>29</v>
      </c>
      <c r="B37" s="35"/>
      <c r="C37" s="54"/>
      <c r="D37" s="36"/>
      <c r="E37" s="37"/>
      <c r="F37" s="38">
        <v>0.11</v>
      </c>
      <c r="G37" s="39">
        <f t="shared" si="1"/>
        <v>0</v>
      </c>
      <c r="H37" s="40">
        <v>0</v>
      </c>
      <c r="I37" s="41"/>
      <c r="J37" s="41"/>
      <c r="K37" s="41"/>
      <c r="L37" s="41"/>
      <c r="M37" s="41">
        <f t="shared" si="0"/>
        <v>0</v>
      </c>
    </row>
    <row r="38" spans="1:16" x14ac:dyDescent="0.25">
      <c r="A38" s="7">
        <v>30</v>
      </c>
      <c r="B38" s="35" t="s">
        <v>33</v>
      </c>
      <c r="C38" s="49" t="s">
        <v>40</v>
      </c>
      <c r="D38" s="36" t="s">
        <v>36</v>
      </c>
      <c r="E38" s="37">
        <v>57.8</v>
      </c>
      <c r="F38" s="38">
        <v>0.11</v>
      </c>
      <c r="G38" s="39">
        <f t="shared" si="1"/>
        <v>6.3579999999999997</v>
      </c>
      <c r="H38" s="40">
        <v>0</v>
      </c>
      <c r="I38" s="42">
        <f>11.45+14</f>
        <v>25.45</v>
      </c>
      <c r="J38" s="42"/>
      <c r="K38" s="42"/>
      <c r="L38" s="41"/>
      <c r="M38" s="41">
        <f t="shared" si="0"/>
        <v>31.808</v>
      </c>
    </row>
    <row r="39" spans="1:16" x14ac:dyDescent="0.25">
      <c r="A39" s="7">
        <v>31</v>
      </c>
      <c r="B39" s="37" t="s">
        <v>33</v>
      </c>
      <c r="C39" s="37" t="s">
        <v>40</v>
      </c>
      <c r="D39" s="37" t="s">
        <v>36</v>
      </c>
      <c r="E39" s="37">
        <v>57.8</v>
      </c>
      <c r="F39" s="38">
        <v>0.11</v>
      </c>
      <c r="G39" s="39">
        <f t="shared" si="1"/>
        <v>6.3579999999999997</v>
      </c>
      <c r="H39" s="40">
        <v>0</v>
      </c>
      <c r="I39" s="43">
        <f>5.1+15.5</f>
        <v>20.6</v>
      </c>
      <c r="J39" s="43"/>
      <c r="K39" s="43"/>
      <c r="L39" s="41"/>
      <c r="M39" s="41">
        <f t="shared" si="0"/>
        <v>26.958000000000002</v>
      </c>
    </row>
    <row r="41" spans="1:16" ht="15.6" thickBot="1" x14ac:dyDescent="0.3"/>
    <row r="42" spans="1:16" ht="16.8" thickTop="1" thickBot="1" x14ac:dyDescent="0.35">
      <c r="A42" s="10" t="s">
        <v>0</v>
      </c>
      <c r="B42" s="11" t="s">
        <v>19</v>
      </c>
      <c r="C42" s="50"/>
      <c r="D42" s="12"/>
      <c r="E42" s="13"/>
      <c r="F42" s="13"/>
      <c r="G42" s="13"/>
      <c r="H42" s="13"/>
      <c r="I42" s="13"/>
      <c r="J42" s="57" t="s">
        <v>28</v>
      </c>
      <c r="K42" s="58"/>
      <c r="L42" s="59"/>
      <c r="M42" s="45" t="s">
        <v>32</v>
      </c>
      <c r="P42" s="34"/>
    </row>
    <row r="43" spans="1:16" ht="16.8" thickTop="1" thickBot="1" x14ac:dyDescent="0.35">
      <c r="A43" s="18"/>
      <c r="B43" s="44"/>
      <c r="C43" s="31"/>
      <c r="D43" s="15"/>
      <c r="J43" s="57" t="s">
        <v>29</v>
      </c>
      <c r="K43" s="58" t="s">
        <v>27</v>
      </c>
      <c r="L43" s="59"/>
      <c r="M43" s="45" t="s">
        <v>32</v>
      </c>
      <c r="P43" s="34"/>
    </row>
    <row r="44" spans="1:16" ht="15.6" x14ac:dyDescent="0.3">
      <c r="A44" s="8"/>
      <c r="B44" s="14"/>
      <c r="C44" s="51"/>
      <c r="D44" s="15"/>
      <c r="J44" s="16" t="s">
        <v>3</v>
      </c>
      <c r="M44" s="17">
        <f>SUM(M9:M39)</f>
        <v>97.807999999999993</v>
      </c>
    </row>
    <row r="45" spans="1:16" ht="15.6" x14ac:dyDescent="0.3">
      <c r="A45" s="8"/>
      <c r="B45" s="14"/>
      <c r="C45" s="51"/>
      <c r="D45" s="15"/>
      <c r="J45" s="24" t="s">
        <v>21</v>
      </c>
      <c r="M45" s="17">
        <f>+B44+B45+B46+B47</f>
        <v>0</v>
      </c>
    </row>
    <row r="46" spans="1:16" ht="15.6" x14ac:dyDescent="0.3">
      <c r="A46" s="8"/>
      <c r="B46" s="14"/>
      <c r="C46" s="51"/>
      <c r="D46" s="18" t="s">
        <v>20</v>
      </c>
      <c r="J46" s="16" t="s">
        <v>4</v>
      </c>
      <c r="M46" s="17">
        <f>M44-M45</f>
        <v>97.807999999999993</v>
      </c>
      <c r="O46" s="34"/>
      <c r="P46" s="34"/>
    </row>
    <row r="47" spans="1:16" ht="15.6" thickBot="1" x14ac:dyDescent="0.3">
      <c r="A47" s="19"/>
      <c r="B47" s="20"/>
      <c r="C47" s="52"/>
      <c r="D47" s="21"/>
      <c r="E47" s="22"/>
      <c r="F47" s="22"/>
      <c r="G47" s="22"/>
      <c r="H47" s="22"/>
      <c r="I47" s="22"/>
      <c r="J47" s="21"/>
      <c r="K47" s="22"/>
      <c r="L47" s="22"/>
      <c r="M47" s="23"/>
    </row>
    <row r="48" spans="1:16" ht="15.6" thickTop="1" x14ac:dyDescent="0.25"/>
    <row r="50" spans="4:4" ht="15.6" x14ac:dyDescent="0.3">
      <c r="D50" s="29"/>
    </row>
  </sheetData>
  <mergeCells count="2">
    <mergeCell ref="J42:L42"/>
    <mergeCell ref="J43:L43"/>
  </mergeCells>
  <phoneticPr fontId="0" type="noConversion"/>
  <printOptions horizontalCentered="1" verticalCentered="1"/>
  <pageMargins left="0.31496062992125984" right="0.31496062992125984" top="0.19685039370078741" bottom="0.19685039370078741" header="0" footer="0"/>
  <pageSetup paperSize="9" scale="69" orientation="landscape" r:id="rId1"/>
  <headerFooter alignWithMargins="0"/>
  <rowBreaks count="1" manualBreakCount="1">
    <brk id="46" max="65535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A2E1441130914A9A3DB734278B6349" ma:contentTypeVersion="10" ma:contentTypeDescription="Crear nuevo documento." ma:contentTypeScope="" ma:versionID="0132a2d6319cf78ff2947756101165a5">
  <xsd:schema xmlns:xsd="http://www.w3.org/2001/XMLSchema" xmlns:xs="http://www.w3.org/2001/XMLSchema" xmlns:p="http://schemas.microsoft.com/office/2006/metadata/properties" xmlns:ns2="01413b39-0cde-4a2c-9212-a8a0773b287e" targetNamespace="http://schemas.microsoft.com/office/2006/metadata/properties" ma:root="true" ma:fieldsID="4de64a4a0076125373787cd71b4387a9" ns2:_="">
    <xsd:import namespace="01413b39-0cde-4a2c-9212-a8a0773b287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413b39-0cde-4a2c-9212-a8a0773b287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74fcfed7-9096-4ab7-95d3-a443ef6486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6B5E67-6E94-4F1F-B054-CA87065D8F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54912F-18AB-480A-81EA-E38EC1FD5F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413b39-0cde-4a2c-9212-a8a0773b28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de Gastos</vt:lpstr>
      <vt:lpstr>'Hoja de Gastos'!Área_de_impresión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Marisa</dc:creator>
  <cp:lastModifiedBy>Hector Alcañiz</cp:lastModifiedBy>
  <cp:lastPrinted>2020-10-13T09:46:27Z</cp:lastPrinted>
  <dcterms:created xsi:type="dcterms:W3CDTF">2001-05-17T09:42:07Z</dcterms:created>
  <dcterms:modified xsi:type="dcterms:W3CDTF">2026-04-13T10:19:11Z</dcterms:modified>
</cp:coreProperties>
</file>